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01C9A8-53DB-4944-86E9-CAD5E0D2FCFB}" xr6:coauthVersionLast="47" xr6:coauthVersionMax="47" xr10:uidLastSave="{00000000-0000-0000-0000-000000000000}"/>
  <bookViews>
    <workbookView xWindow="-109" yWindow="-109" windowWidth="26301" windowHeight="14169" xr2:uid="{D56D29F6-6600-4F8A-B613-CAD762BB0ACD}"/>
  </bookViews>
  <sheets>
    <sheet name="Sheet2" sheetId="3" r:id="rId1"/>
    <sheet name="EPL_INJURY" sheetId="1" r:id="rId2"/>
    <sheet name="Sheet1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3" l="1"/>
  <c r="A60" i="3"/>
  <c r="A59" i="3"/>
  <c r="A57" i="3"/>
  <c r="A55" i="3"/>
  <c r="A53" i="3"/>
  <c r="A52" i="3"/>
</calcChain>
</file>

<file path=xl/sharedStrings.xml><?xml version="1.0" encoding="utf-8"?>
<sst xmlns="http://schemas.openxmlformats.org/spreadsheetml/2006/main" count="159" uniqueCount="42">
  <si>
    <t>Team</t>
  </si>
  <si>
    <t>Total Injuries</t>
  </si>
  <si>
    <t>Season</t>
  </si>
  <si>
    <t>Arsenal</t>
  </si>
  <si>
    <t>2021-22</t>
  </si>
  <si>
    <t>Aston Villa</t>
  </si>
  <si>
    <t>Brentford</t>
  </si>
  <si>
    <t>Brighton</t>
  </si>
  <si>
    <t>Burnley</t>
  </si>
  <si>
    <t>Sum of Total Injuries</t>
  </si>
  <si>
    <t>Column Labels</t>
  </si>
  <si>
    <t>Chelsea</t>
  </si>
  <si>
    <t>Row Labels</t>
  </si>
  <si>
    <t>2022-23</t>
  </si>
  <si>
    <t>2023-24</t>
  </si>
  <si>
    <t>Grand Total</t>
  </si>
  <si>
    <t>Crystal Palace</t>
  </si>
  <si>
    <t>Everton</t>
  </si>
  <si>
    <t>Leeds</t>
  </si>
  <si>
    <t>Leicester</t>
  </si>
  <si>
    <t>Liverpool</t>
  </si>
  <si>
    <t>Man City</t>
  </si>
  <si>
    <t>Man Utd</t>
  </si>
  <si>
    <t>Newcastle</t>
  </si>
  <si>
    <t>Norwich City</t>
  </si>
  <si>
    <t>Southampton</t>
  </si>
  <si>
    <t>Spurs</t>
  </si>
  <si>
    <t>Watford</t>
  </si>
  <si>
    <t>West Ham</t>
  </si>
  <si>
    <t>Wolves</t>
  </si>
  <si>
    <t>Nottingham</t>
  </si>
  <si>
    <t>Bournemouth</t>
  </si>
  <si>
    <t>Fulham</t>
  </si>
  <si>
    <t>Luton</t>
  </si>
  <si>
    <t>Sheffield</t>
  </si>
  <si>
    <t>Average</t>
  </si>
  <si>
    <t>Stdev</t>
  </si>
  <si>
    <t>z value</t>
  </si>
  <si>
    <t>Half-width</t>
  </si>
  <si>
    <t>Upper</t>
  </si>
  <si>
    <t>Lower</t>
  </si>
  <si>
    <t>2021-23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</si>
</sst>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1" xfId="0" pivotButton="1" applyBorder="1" applyAlignment="1">
      <alignment horizontal="left"/>
    </xf>
    <xf numFmtId="0" fontId="0" fillId="0" borderId="11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colors>
    <mruColors>
      <color rgb="FF00FF00"/>
      <color rgb="FF54AC04"/>
      <color rgb="FF0AAE02"/>
      <color rgb="FF024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[EPL_INJURY.xlsx]Sheet2!PivotTable2</c:name>
    <c:fmtId val="0"/>
  </c:pivotSource>
  <c:chart>
    <c:autoTitleDeleted val="0"/>
    <c:pivotFmts>
      <c:pivotFmt>
        <c:idx val="0"/>
        <c:spPr>
          <a:solidFill>
            <a:srgbClr val="0248D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Sheet2!$D$2:$D$3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rgbClr val="0248D4"/>
            </a:solidFill>
            <a:ln>
              <a:noFill/>
            </a:ln>
            <a:effectLst/>
          </c:spPr>
          <c:invertIfNegative val="0"/>
          <c:cat>
            <c:strRef>
              <c:f>Sheet2!$C$4:$C$18</c:f>
              <c:strCache>
                <c:ptCount val="14"/>
                <c:pt idx="0">
                  <c:v>Arsenal</c:v>
                </c:pt>
                <c:pt idx="1">
                  <c:v>Aston Villa</c:v>
                </c:pt>
                <c:pt idx="2">
                  <c:v>Brentford</c:v>
                </c:pt>
                <c:pt idx="3">
                  <c:v>Brighton</c:v>
                </c:pt>
                <c:pt idx="4">
                  <c:v>Chelsea</c:v>
                </c:pt>
                <c:pt idx="5">
                  <c:v>Crystal Palace</c:v>
                </c:pt>
                <c:pt idx="6">
                  <c:v>Everton</c:v>
                </c:pt>
                <c:pt idx="7">
                  <c:v>Liverpool</c:v>
                </c:pt>
                <c:pt idx="8">
                  <c:v>Man City</c:v>
                </c:pt>
                <c:pt idx="9">
                  <c:v>Man Utd</c:v>
                </c:pt>
                <c:pt idx="10">
                  <c:v>Newcastle</c:v>
                </c:pt>
                <c:pt idx="11">
                  <c:v>Spurs</c:v>
                </c:pt>
                <c:pt idx="12">
                  <c:v>West Ham</c:v>
                </c:pt>
                <c:pt idx="13">
                  <c:v>Wolves</c:v>
                </c:pt>
              </c:strCache>
            </c:strRef>
          </c:cat>
          <c:val>
            <c:numRef>
              <c:f>Sheet2!$D$4:$D$18</c:f>
              <c:numCache>
                <c:formatCode>General</c:formatCode>
                <c:ptCount val="14"/>
                <c:pt idx="0">
                  <c:v>25</c:v>
                </c:pt>
                <c:pt idx="1">
                  <c:v>29</c:v>
                </c:pt>
                <c:pt idx="2">
                  <c:v>28</c:v>
                </c:pt>
                <c:pt idx="3">
                  <c:v>34</c:v>
                </c:pt>
                <c:pt idx="4">
                  <c:v>50</c:v>
                </c:pt>
                <c:pt idx="5">
                  <c:v>19</c:v>
                </c:pt>
                <c:pt idx="6">
                  <c:v>45</c:v>
                </c:pt>
                <c:pt idx="7">
                  <c:v>39</c:v>
                </c:pt>
                <c:pt idx="8">
                  <c:v>29</c:v>
                </c:pt>
                <c:pt idx="9">
                  <c:v>41</c:v>
                </c:pt>
                <c:pt idx="10">
                  <c:v>29</c:v>
                </c:pt>
                <c:pt idx="11">
                  <c:v>30</c:v>
                </c:pt>
                <c:pt idx="12">
                  <c:v>29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F-44C9-BE1A-AFD2A73A9053}"/>
            </c:ext>
          </c:extLst>
        </c:ser>
        <c:ser>
          <c:idx val="1"/>
          <c:order val="1"/>
          <c:tx>
            <c:strRef>
              <c:f>Sheet2!$E$2:$E$3</c:f>
              <c:strCache>
                <c:ptCount val="1"/>
                <c:pt idx="0">
                  <c:v>2022-23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cat>
            <c:strRef>
              <c:f>Sheet2!$C$4:$C$18</c:f>
              <c:strCache>
                <c:ptCount val="14"/>
                <c:pt idx="0">
                  <c:v>Arsenal</c:v>
                </c:pt>
                <c:pt idx="1">
                  <c:v>Aston Villa</c:v>
                </c:pt>
                <c:pt idx="2">
                  <c:v>Brentford</c:v>
                </c:pt>
                <c:pt idx="3">
                  <c:v>Brighton</c:v>
                </c:pt>
                <c:pt idx="4">
                  <c:v>Chelsea</c:v>
                </c:pt>
                <c:pt idx="5">
                  <c:v>Crystal Palace</c:v>
                </c:pt>
                <c:pt idx="6">
                  <c:v>Everton</c:v>
                </c:pt>
                <c:pt idx="7">
                  <c:v>Liverpool</c:v>
                </c:pt>
                <c:pt idx="8">
                  <c:v>Man City</c:v>
                </c:pt>
                <c:pt idx="9">
                  <c:v>Man Utd</c:v>
                </c:pt>
                <c:pt idx="10">
                  <c:v>Newcastle</c:v>
                </c:pt>
                <c:pt idx="11">
                  <c:v>Spurs</c:v>
                </c:pt>
                <c:pt idx="12">
                  <c:v>West Ham</c:v>
                </c:pt>
                <c:pt idx="13">
                  <c:v>Wolves</c:v>
                </c:pt>
              </c:strCache>
            </c:strRef>
          </c:cat>
          <c:val>
            <c:numRef>
              <c:f>Sheet2!$E$4:$E$18</c:f>
              <c:numCache>
                <c:formatCode>General</c:formatCode>
                <c:ptCount val="14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25</c:v>
                </c:pt>
                <c:pt idx="4">
                  <c:v>48</c:v>
                </c:pt>
                <c:pt idx="5">
                  <c:v>27</c:v>
                </c:pt>
                <c:pt idx="6">
                  <c:v>25</c:v>
                </c:pt>
                <c:pt idx="7">
                  <c:v>36</c:v>
                </c:pt>
                <c:pt idx="8">
                  <c:v>27</c:v>
                </c:pt>
                <c:pt idx="9">
                  <c:v>34</c:v>
                </c:pt>
                <c:pt idx="10">
                  <c:v>39</c:v>
                </c:pt>
                <c:pt idx="11">
                  <c:v>35</c:v>
                </c:pt>
                <c:pt idx="12">
                  <c:v>23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F-44C9-BE1A-AFD2A73A9053}"/>
            </c:ext>
          </c:extLst>
        </c:ser>
        <c:ser>
          <c:idx val="2"/>
          <c:order val="2"/>
          <c:tx>
            <c:strRef>
              <c:f>Sheet2!$F$2:$F$3</c:f>
              <c:strCache>
                <c:ptCount val="1"/>
                <c:pt idx="0">
                  <c:v>2023-24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Sheet2!$C$4:$C$18</c:f>
              <c:strCache>
                <c:ptCount val="14"/>
                <c:pt idx="0">
                  <c:v>Arsenal</c:v>
                </c:pt>
                <c:pt idx="1">
                  <c:v>Aston Villa</c:v>
                </c:pt>
                <c:pt idx="2">
                  <c:v>Brentford</c:v>
                </c:pt>
                <c:pt idx="3">
                  <c:v>Brighton</c:v>
                </c:pt>
                <c:pt idx="4">
                  <c:v>Chelsea</c:v>
                </c:pt>
                <c:pt idx="5">
                  <c:v>Crystal Palace</c:v>
                </c:pt>
                <c:pt idx="6">
                  <c:v>Everton</c:v>
                </c:pt>
                <c:pt idx="7">
                  <c:v>Liverpool</c:v>
                </c:pt>
                <c:pt idx="8">
                  <c:v>Man City</c:v>
                </c:pt>
                <c:pt idx="9">
                  <c:v>Man Utd</c:v>
                </c:pt>
                <c:pt idx="10">
                  <c:v>Newcastle</c:v>
                </c:pt>
                <c:pt idx="11">
                  <c:v>Spurs</c:v>
                </c:pt>
                <c:pt idx="12">
                  <c:v>West Ham</c:v>
                </c:pt>
                <c:pt idx="13">
                  <c:v>Wolves</c:v>
                </c:pt>
              </c:strCache>
            </c:strRef>
          </c:cat>
          <c:val>
            <c:numRef>
              <c:f>Sheet2!$F$4:$F$18</c:f>
              <c:numCache>
                <c:formatCode>General</c:formatCode>
                <c:ptCount val="14"/>
                <c:pt idx="0">
                  <c:v>22</c:v>
                </c:pt>
                <c:pt idx="1">
                  <c:v>35</c:v>
                </c:pt>
                <c:pt idx="2">
                  <c:v>26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32</c:v>
                </c:pt>
                <c:pt idx="7">
                  <c:v>35</c:v>
                </c:pt>
                <c:pt idx="8">
                  <c:v>25</c:v>
                </c:pt>
                <c:pt idx="9">
                  <c:v>46</c:v>
                </c:pt>
                <c:pt idx="10">
                  <c:v>40</c:v>
                </c:pt>
                <c:pt idx="11">
                  <c:v>35</c:v>
                </c:pt>
                <c:pt idx="12">
                  <c:v>26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5F-44C9-BE1A-AFD2A73A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925455"/>
        <c:axId val="1099917295"/>
      </c:barChart>
      <c:catAx>
        <c:axId val="1099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17295"/>
        <c:crosses val="autoZero"/>
        <c:auto val="1"/>
        <c:lblAlgn val="ctr"/>
        <c:lblOffset val="100"/>
        <c:noMultiLvlLbl val="0"/>
      </c:catAx>
      <c:valAx>
        <c:axId val="10999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2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Injuries of Consistent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rgbClr val="0248D4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Total Injuries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C-4929-B848-62907C172FD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2022-23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A22-47AD-A5B0-1CC277E49736}"/>
              </c:ext>
            </c:extLst>
          </c:dPt>
          <c:cat>
            <c:strRef>
              <c:f>Sheet1!$B$1</c:f>
              <c:strCache>
                <c:ptCount val="1"/>
                <c:pt idx="0">
                  <c:v>Total Injuries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C-4929-B848-62907C172FD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2023-24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Total Injuries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C-4929-B848-62907C17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657503"/>
        <c:axId val="1500668063"/>
      </c:barChart>
      <c:catAx>
        <c:axId val="150065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68063"/>
        <c:crosses val="autoZero"/>
        <c:auto val="1"/>
        <c:lblAlgn val="ctr"/>
        <c:lblOffset val="100"/>
        <c:noMultiLvlLbl val="0"/>
      </c:catAx>
      <c:valAx>
        <c:axId val="15006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5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366623</xdr:colOff>
      <xdr:row>5</xdr:row>
      <xdr:rowOff>94890</xdr:rowOff>
    </xdr:from>
    <xdr:to>
      <xdr:col>17</xdr:col>
      <xdr:colOff>103517</xdr:colOff>
      <xdr:row>23</xdr:row>
      <xdr:rowOff>47445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9F6E6-43A6-1B09-7A0F-13AB9DCF3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194094</xdr:colOff>
      <xdr:row>4</xdr:row>
      <xdr:rowOff>168214</xdr:rowOff>
    </xdr:from>
    <xdr:to>
      <xdr:col>12</xdr:col>
      <xdr:colOff>418381</xdr:colOff>
      <xdr:row>20</xdr:row>
      <xdr:rowOff>12939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2C206-7344-7DDA-065C-01F9009A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606.728613194442" createdVersion="8" refreshedVersion="8" minRefreshableVersion="3" recordCount="60" xr:uid="{2A93357D-C578-4710-87AB-B13E8342BF5F}">
  <cacheSource type="worksheet">
    <worksheetSource name="Table1"/>
  </cacheSource>
  <cacheFields count="3">
    <cacheField name="Team" numFmtId="0">
      <sharedItems count="25">
        <s v="Arsenal"/>
        <s v="Aston Villa"/>
        <s v="Brentford"/>
        <s v="Brighton"/>
        <s v="Burnley"/>
        <s v="Chelsea"/>
        <s v="Crystal Palace"/>
        <s v="Everton"/>
        <s v="Leeds"/>
        <s v="Leicester"/>
        <s v="Liverpool"/>
        <s v="Man City"/>
        <s v="Man Utd"/>
        <s v="Newcastle"/>
        <s v="Norwich City"/>
        <s v="Southampton"/>
        <s v="Spurs"/>
        <s v="Watford"/>
        <s v="West Ham"/>
        <s v="Wolves"/>
        <s v="Nottingham"/>
        <s v="Bournemouth"/>
        <s v="Fulham"/>
        <s v="Luton"/>
        <s v="Sheffield"/>
      </sharedItems>
    </cacheField>
    <cacheField name="Total Injuries" numFmtId="0">
      <sharedItems containsSemiMixedTypes="0" containsString="0" containsNumber="1" containsInteger="1" minValue="18" maxValue="50" count="28">
        <n v="25"/>
        <n v="29"/>
        <n v="28"/>
        <n v="34"/>
        <n v="31"/>
        <n v="50"/>
        <n v="19"/>
        <n v="45"/>
        <n v="44"/>
        <n v="42"/>
        <n v="39"/>
        <n v="41"/>
        <n v="38"/>
        <n v="27"/>
        <n v="30"/>
        <n v="18"/>
        <n v="48"/>
        <n v="37"/>
        <n v="36"/>
        <n v="35"/>
        <n v="33"/>
        <n v="32"/>
        <n v="24"/>
        <n v="23"/>
        <n v="22"/>
        <n v="46"/>
        <n v="40"/>
        <n v="26"/>
      </sharedItems>
    </cacheField>
    <cacheField name="Season" numFmtId="0">
      <sharedItems count="3">
        <s v="2021-22"/>
        <s v="2022-23"/>
        <s v="2023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7"/>
    <x v="0"/>
  </r>
  <r>
    <x v="8"/>
    <x v="8"/>
    <x v="0"/>
  </r>
  <r>
    <x v="9"/>
    <x v="9"/>
    <x v="0"/>
  </r>
  <r>
    <x v="10"/>
    <x v="10"/>
    <x v="0"/>
  </r>
  <r>
    <x v="11"/>
    <x v="1"/>
    <x v="0"/>
  </r>
  <r>
    <x v="12"/>
    <x v="11"/>
    <x v="0"/>
  </r>
  <r>
    <x v="13"/>
    <x v="1"/>
    <x v="0"/>
  </r>
  <r>
    <x v="14"/>
    <x v="12"/>
    <x v="0"/>
  </r>
  <r>
    <x v="15"/>
    <x v="13"/>
    <x v="0"/>
  </r>
  <r>
    <x v="16"/>
    <x v="14"/>
    <x v="0"/>
  </r>
  <r>
    <x v="17"/>
    <x v="5"/>
    <x v="0"/>
  </r>
  <r>
    <x v="18"/>
    <x v="1"/>
    <x v="0"/>
  </r>
  <r>
    <x v="19"/>
    <x v="15"/>
    <x v="0"/>
  </r>
  <r>
    <x v="5"/>
    <x v="16"/>
    <x v="1"/>
  </r>
  <r>
    <x v="13"/>
    <x v="10"/>
    <x v="1"/>
  </r>
  <r>
    <x v="20"/>
    <x v="17"/>
    <x v="1"/>
  </r>
  <r>
    <x v="10"/>
    <x v="18"/>
    <x v="1"/>
  </r>
  <r>
    <x v="16"/>
    <x v="19"/>
    <x v="1"/>
  </r>
  <r>
    <x v="12"/>
    <x v="3"/>
    <x v="1"/>
  </r>
  <r>
    <x v="9"/>
    <x v="20"/>
    <x v="1"/>
  </r>
  <r>
    <x v="8"/>
    <x v="20"/>
    <x v="1"/>
  </r>
  <r>
    <x v="21"/>
    <x v="21"/>
    <x v="1"/>
  </r>
  <r>
    <x v="15"/>
    <x v="13"/>
    <x v="1"/>
  </r>
  <r>
    <x v="11"/>
    <x v="13"/>
    <x v="1"/>
  </r>
  <r>
    <x v="6"/>
    <x v="13"/>
    <x v="1"/>
  </r>
  <r>
    <x v="7"/>
    <x v="0"/>
    <x v="1"/>
  </r>
  <r>
    <x v="3"/>
    <x v="0"/>
    <x v="1"/>
  </r>
  <r>
    <x v="2"/>
    <x v="0"/>
    <x v="1"/>
  </r>
  <r>
    <x v="1"/>
    <x v="22"/>
    <x v="1"/>
  </r>
  <r>
    <x v="18"/>
    <x v="23"/>
    <x v="1"/>
  </r>
  <r>
    <x v="0"/>
    <x v="24"/>
    <x v="1"/>
  </r>
  <r>
    <x v="19"/>
    <x v="6"/>
    <x v="1"/>
  </r>
  <r>
    <x v="22"/>
    <x v="6"/>
    <x v="1"/>
  </r>
  <r>
    <x v="12"/>
    <x v="25"/>
    <x v="2"/>
  </r>
  <r>
    <x v="5"/>
    <x v="9"/>
    <x v="2"/>
  </r>
  <r>
    <x v="13"/>
    <x v="26"/>
    <x v="2"/>
  </r>
  <r>
    <x v="3"/>
    <x v="12"/>
    <x v="2"/>
  </r>
  <r>
    <x v="6"/>
    <x v="17"/>
    <x v="2"/>
  </r>
  <r>
    <x v="1"/>
    <x v="19"/>
    <x v="2"/>
  </r>
  <r>
    <x v="10"/>
    <x v="19"/>
    <x v="2"/>
  </r>
  <r>
    <x v="16"/>
    <x v="19"/>
    <x v="2"/>
  </r>
  <r>
    <x v="20"/>
    <x v="3"/>
    <x v="2"/>
  </r>
  <r>
    <x v="23"/>
    <x v="20"/>
    <x v="2"/>
  </r>
  <r>
    <x v="7"/>
    <x v="21"/>
    <x v="2"/>
  </r>
  <r>
    <x v="24"/>
    <x v="4"/>
    <x v="2"/>
  </r>
  <r>
    <x v="2"/>
    <x v="27"/>
    <x v="2"/>
  </r>
  <r>
    <x v="18"/>
    <x v="27"/>
    <x v="2"/>
  </r>
  <r>
    <x v="21"/>
    <x v="0"/>
    <x v="2"/>
  </r>
  <r>
    <x v="4"/>
    <x v="0"/>
    <x v="2"/>
  </r>
  <r>
    <x v="11"/>
    <x v="0"/>
    <x v="2"/>
  </r>
  <r>
    <x v="19"/>
    <x v="0"/>
    <x v="2"/>
  </r>
  <r>
    <x v="0"/>
    <x v="24"/>
    <x v="2"/>
  </r>
  <r>
    <x v="22"/>
    <x v="2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C412C-179B-4078-8683-D9AE28C873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2:G18" firstHeaderRow="1" firstDataRow="2" firstDataCol="1"/>
  <pivotFields count="3">
    <pivotField axis="axisRow" showAll="0">
      <items count="26">
        <item x="0"/>
        <item x="1"/>
        <item h="1" x="21"/>
        <item x="2"/>
        <item x="3"/>
        <item h="1" x="4"/>
        <item x="5"/>
        <item x="6"/>
        <item x="7"/>
        <item h="1" x="22"/>
        <item h="1" x="8"/>
        <item h="1" x="9"/>
        <item x="10"/>
        <item h="1" x="23"/>
        <item x="11"/>
        <item x="12"/>
        <item x="13"/>
        <item h="1" x="14"/>
        <item h="1" x="20"/>
        <item h="1" x="24"/>
        <item h="1" x="15"/>
        <item x="16"/>
        <item h="1" x="17"/>
        <item x="18"/>
        <item x="19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15">
    <i>
      <x/>
    </i>
    <i>
      <x v="1"/>
    </i>
    <i>
      <x v="3"/>
    </i>
    <i>
      <x v="4"/>
    </i>
    <i>
      <x v="6"/>
    </i>
    <i>
      <x v="7"/>
    </i>
    <i>
      <x v="8"/>
    </i>
    <i>
      <x v="12"/>
    </i>
    <i>
      <x v="14"/>
    </i>
    <i>
      <x v="15"/>
    </i>
    <i>
      <x v="16"/>
    </i>
    <i>
      <x v="21"/>
    </i>
    <i>
      <x v="23"/>
    </i>
    <i>
      <x v="2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Injuries" fld="1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Col="1" outline="0" fieldPosition="0"/>
    </format>
    <format dxfId="0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F797D-2512-4249-A61E-B72C42354ED6}" name="Table1" displayName="Table1" ref="A1:C61" totalsRowShown="0">
  <autoFilter ref="A1:C61" xr:uid="{E38F797D-2512-4249-A61E-B72C42354ED6}"/>
  <tableColumns count="3">
    <tableColumn id="1" xr3:uid="{BB5EC29D-C364-4B3B-BAC1-56B0236EFE90}" name="Team"/>
    <tableColumn id="2" xr3:uid="{0A84A84D-BEE2-4BDD-8B76-3D7FCC7550AD}" name="Total Injuries"/>
    <tableColumn id="3" xr3:uid="{65742140-BE60-47E7-9D91-81957154FDC2}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BB16-E0D5-4320-A191-54F869C7B677}">
  <dimension ref="A2:G60"/>
  <sheetViews>
    <sheetView tabSelected="1" topLeftCell="A21" zoomScale="77" zoomScaleNormal="77" workbookViewId="0">
      <selection activeCell="J48" sqref="J48"/>
    </sheetView>
  </sheetViews>
  <sheetFormatPr defaultRowHeight="14.3" x14ac:dyDescent="0.25"/>
  <cols>
    <col min="1" max="1" width="13" style="3" bestFit="1" customWidth="1"/>
    <col min="2" max="2" width="12.125" style="3" bestFit="1" customWidth="1"/>
    <col min="3" max="3" width="18.375" style="3" bestFit="1" customWidth="1"/>
    <col min="4" max="4" width="15.625" style="3" bestFit="1" customWidth="1"/>
    <col min="5" max="5" width="9.375" style="3" bestFit="1" customWidth="1"/>
    <col min="6" max="6" width="8.125" style="3" bestFit="1" customWidth="1"/>
    <col min="7" max="7" width="10.625" style="3" bestFit="1" customWidth="1"/>
    <col min="8" max="8" width="7.5" style="3" bestFit="1" customWidth="1"/>
    <col min="9" max="9" width="10.125" style="3" bestFit="1" customWidth="1"/>
    <col min="10" max="16384" width="9" style="3"/>
  </cols>
  <sheetData>
    <row r="2" spans="3:7" x14ac:dyDescent="0.25">
      <c r="C2" s="5" t="s">
        <v>9</v>
      </c>
      <c r="D2" s="5" t="s">
        <v>10</v>
      </c>
      <c r="E2" s="6"/>
      <c r="F2" s="6"/>
      <c r="G2" s="6"/>
    </row>
    <row r="3" spans="3:7" x14ac:dyDescent="0.25">
      <c r="C3" s="5" t="s">
        <v>12</v>
      </c>
      <c r="D3" s="6" t="s">
        <v>4</v>
      </c>
      <c r="E3" s="6" t="s">
        <v>13</v>
      </c>
      <c r="F3" s="6" t="s">
        <v>14</v>
      </c>
      <c r="G3" s="6" t="s">
        <v>15</v>
      </c>
    </row>
    <row r="4" spans="3:7" x14ac:dyDescent="0.25">
      <c r="C4" s="6" t="s">
        <v>3</v>
      </c>
      <c r="D4" s="6">
        <v>25</v>
      </c>
      <c r="E4" s="6">
        <v>22</v>
      </c>
      <c r="F4" s="6">
        <v>22</v>
      </c>
      <c r="G4" s="6">
        <v>69</v>
      </c>
    </row>
    <row r="5" spans="3:7" x14ac:dyDescent="0.25">
      <c r="C5" s="6" t="s">
        <v>5</v>
      </c>
      <c r="D5" s="6">
        <v>29</v>
      </c>
      <c r="E5" s="6">
        <v>24</v>
      </c>
      <c r="F5" s="6">
        <v>35</v>
      </c>
      <c r="G5" s="6">
        <v>88</v>
      </c>
    </row>
    <row r="6" spans="3:7" x14ac:dyDescent="0.25">
      <c r="C6" s="6" t="s">
        <v>6</v>
      </c>
      <c r="D6" s="6">
        <v>28</v>
      </c>
      <c r="E6" s="6">
        <v>25</v>
      </c>
      <c r="F6" s="6">
        <v>26</v>
      </c>
      <c r="G6" s="6">
        <v>79</v>
      </c>
    </row>
    <row r="7" spans="3:7" x14ac:dyDescent="0.25">
      <c r="C7" s="6" t="s">
        <v>7</v>
      </c>
      <c r="D7" s="6">
        <v>34</v>
      </c>
      <c r="E7" s="6">
        <v>25</v>
      </c>
      <c r="F7" s="6">
        <v>38</v>
      </c>
      <c r="G7" s="6">
        <v>97</v>
      </c>
    </row>
    <row r="8" spans="3:7" x14ac:dyDescent="0.25">
      <c r="C8" s="6" t="s">
        <v>11</v>
      </c>
      <c r="D8" s="6">
        <v>50</v>
      </c>
      <c r="E8" s="6">
        <v>48</v>
      </c>
      <c r="F8" s="6">
        <v>42</v>
      </c>
      <c r="G8" s="6">
        <v>140</v>
      </c>
    </row>
    <row r="9" spans="3:7" x14ac:dyDescent="0.25">
      <c r="C9" s="6" t="s">
        <v>16</v>
      </c>
      <c r="D9" s="6">
        <v>19</v>
      </c>
      <c r="E9" s="6">
        <v>27</v>
      </c>
      <c r="F9" s="6">
        <v>37</v>
      </c>
      <c r="G9" s="6">
        <v>83</v>
      </c>
    </row>
    <row r="10" spans="3:7" x14ac:dyDescent="0.25">
      <c r="C10" s="6" t="s">
        <v>17</v>
      </c>
      <c r="D10" s="6">
        <v>45</v>
      </c>
      <c r="E10" s="6">
        <v>25</v>
      </c>
      <c r="F10" s="6">
        <v>32</v>
      </c>
      <c r="G10" s="6">
        <v>102</v>
      </c>
    </row>
    <row r="11" spans="3:7" x14ac:dyDescent="0.25">
      <c r="C11" s="6" t="s">
        <v>20</v>
      </c>
      <c r="D11" s="6">
        <v>39</v>
      </c>
      <c r="E11" s="6">
        <v>36</v>
      </c>
      <c r="F11" s="6">
        <v>35</v>
      </c>
      <c r="G11" s="6">
        <v>110</v>
      </c>
    </row>
    <row r="12" spans="3:7" x14ac:dyDescent="0.25">
      <c r="C12" s="6" t="s">
        <v>21</v>
      </c>
      <c r="D12" s="6">
        <v>29</v>
      </c>
      <c r="E12" s="6">
        <v>27</v>
      </c>
      <c r="F12" s="6">
        <v>25</v>
      </c>
      <c r="G12" s="6">
        <v>81</v>
      </c>
    </row>
    <row r="13" spans="3:7" x14ac:dyDescent="0.25">
      <c r="C13" s="6" t="s">
        <v>22</v>
      </c>
      <c r="D13" s="6">
        <v>41</v>
      </c>
      <c r="E13" s="6">
        <v>34</v>
      </c>
      <c r="F13" s="6">
        <v>46</v>
      </c>
      <c r="G13" s="6">
        <v>121</v>
      </c>
    </row>
    <row r="14" spans="3:7" x14ac:dyDescent="0.25">
      <c r="C14" s="6" t="s">
        <v>23</v>
      </c>
      <c r="D14" s="6">
        <v>29</v>
      </c>
      <c r="E14" s="6">
        <v>39</v>
      </c>
      <c r="F14" s="6">
        <v>40</v>
      </c>
      <c r="G14" s="6">
        <v>108</v>
      </c>
    </row>
    <row r="15" spans="3:7" x14ac:dyDescent="0.25">
      <c r="C15" s="6" t="s">
        <v>26</v>
      </c>
      <c r="D15" s="6">
        <v>30</v>
      </c>
      <c r="E15" s="6">
        <v>35</v>
      </c>
      <c r="F15" s="6">
        <v>35</v>
      </c>
      <c r="G15" s="6">
        <v>100</v>
      </c>
    </row>
    <row r="16" spans="3:7" x14ac:dyDescent="0.25">
      <c r="C16" s="6" t="s">
        <v>28</v>
      </c>
      <c r="D16" s="6">
        <v>29</v>
      </c>
      <c r="E16" s="6">
        <v>23</v>
      </c>
      <c r="F16" s="6">
        <v>26</v>
      </c>
      <c r="G16" s="6">
        <v>78</v>
      </c>
    </row>
    <row r="17" spans="1:7" x14ac:dyDescent="0.25">
      <c r="C17" s="6" t="s">
        <v>29</v>
      </c>
      <c r="D17" s="6">
        <v>18</v>
      </c>
      <c r="E17" s="6">
        <v>19</v>
      </c>
      <c r="F17" s="6">
        <v>25</v>
      </c>
      <c r="G17" s="6">
        <v>62</v>
      </c>
    </row>
    <row r="18" spans="1:7" x14ac:dyDescent="0.25">
      <c r="C18" s="6" t="s">
        <v>15</v>
      </c>
      <c r="D18" s="6">
        <v>445</v>
      </c>
      <c r="E18" s="6">
        <v>409</v>
      </c>
      <c r="F18" s="6">
        <v>464</v>
      </c>
      <c r="G18" s="6">
        <v>1318</v>
      </c>
    </row>
    <row r="21" spans="1:7" x14ac:dyDescent="0.25">
      <c r="A21" s="4" t="s">
        <v>41</v>
      </c>
    </row>
    <row r="22" spans="1:7" x14ac:dyDescent="0.25">
      <c r="A22" s="3">
        <v>25</v>
      </c>
      <c r="B22" s="3">
        <v>1</v>
      </c>
    </row>
    <row r="23" spans="1:7" x14ac:dyDescent="0.25">
      <c r="A23" s="3">
        <v>29</v>
      </c>
      <c r="B23" s="3">
        <v>2</v>
      </c>
    </row>
    <row r="24" spans="1:7" x14ac:dyDescent="0.25">
      <c r="A24" s="3">
        <v>28</v>
      </c>
      <c r="B24" s="3">
        <v>3</v>
      </c>
    </row>
    <row r="25" spans="1:7" x14ac:dyDescent="0.25">
      <c r="A25" s="3">
        <v>34</v>
      </c>
      <c r="B25" s="3">
        <v>4</v>
      </c>
    </row>
    <row r="26" spans="1:7" x14ac:dyDescent="0.25">
      <c r="A26" s="3">
        <v>50</v>
      </c>
      <c r="B26" s="3">
        <v>5</v>
      </c>
    </row>
    <row r="27" spans="1:7" x14ac:dyDescent="0.25">
      <c r="A27" s="3">
        <v>19</v>
      </c>
      <c r="B27" s="3">
        <v>6</v>
      </c>
    </row>
    <row r="28" spans="1:7" x14ac:dyDescent="0.25">
      <c r="A28" s="3">
        <v>45</v>
      </c>
      <c r="B28" s="3">
        <v>7</v>
      </c>
    </row>
    <row r="29" spans="1:7" x14ac:dyDescent="0.25">
      <c r="A29" s="3">
        <v>39</v>
      </c>
      <c r="B29" s="3">
        <v>8</v>
      </c>
    </row>
    <row r="30" spans="1:7" x14ac:dyDescent="0.25">
      <c r="A30" s="3">
        <v>29</v>
      </c>
      <c r="B30" s="3">
        <v>9</v>
      </c>
    </row>
    <row r="31" spans="1:7" x14ac:dyDescent="0.25">
      <c r="A31" s="3">
        <v>41</v>
      </c>
      <c r="B31" s="3">
        <v>10</v>
      </c>
    </row>
    <row r="32" spans="1:7" x14ac:dyDescent="0.25">
      <c r="A32" s="3">
        <v>29</v>
      </c>
      <c r="B32" s="3">
        <v>11</v>
      </c>
    </row>
    <row r="33" spans="1:4" x14ac:dyDescent="0.25">
      <c r="A33" s="3">
        <v>30</v>
      </c>
      <c r="B33" s="3">
        <v>12</v>
      </c>
    </row>
    <row r="34" spans="1:4" x14ac:dyDescent="0.25">
      <c r="A34" s="3">
        <v>29</v>
      </c>
      <c r="B34" s="3">
        <v>13</v>
      </c>
    </row>
    <row r="35" spans="1:4" x14ac:dyDescent="0.25">
      <c r="A35" s="3">
        <v>18</v>
      </c>
      <c r="B35" s="3">
        <v>14</v>
      </c>
      <c r="D35" s="4" t="s">
        <v>14</v>
      </c>
    </row>
    <row r="36" spans="1:4" x14ac:dyDescent="0.25">
      <c r="A36" s="3">
        <v>22</v>
      </c>
      <c r="B36" s="3">
        <v>15</v>
      </c>
      <c r="D36" s="3">
        <v>22</v>
      </c>
    </row>
    <row r="37" spans="1:4" x14ac:dyDescent="0.25">
      <c r="A37" s="3">
        <v>24</v>
      </c>
      <c r="B37" s="3">
        <v>16</v>
      </c>
      <c r="D37" s="3">
        <v>35</v>
      </c>
    </row>
    <row r="38" spans="1:4" x14ac:dyDescent="0.25">
      <c r="A38" s="3">
        <v>25</v>
      </c>
      <c r="B38" s="3">
        <v>17</v>
      </c>
      <c r="D38" s="3">
        <v>26</v>
      </c>
    </row>
    <row r="39" spans="1:4" x14ac:dyDescent="0.25">
      <c r="A39" s="3">
        <v>25</v>
      </c>
      <c r="B39" s="3">
        <v>18</v>
      </c>
      <c r="D39" s="3">
        <v>38</v>
      </c>
    </row>
    <row r="40" spans="1:4" x14ac:dyDescent="0.25">
      <c r="A40" s="3">
        <v>48</v>
      </c>
      <c r="B40" s="3">
        <v>19</v>
      </c>
      <c r="D40" s="3">
        <v>42</v>
      </c>
    </row>
    <row r="41" spans="1:4" x14ac:dyDescent="0.25">
      <c r="A41" s="3">
        <v>27</v>
      </c>
      <c r="B41" s="3">
        <v>20</v>
      </c>
      <c r="D41" s="3">
        <v>37</v>
      </c>
    </row>
    <row r="42" spans="1:4" x14ac:dyDescent="0.25">
      <c r="A42" s="3">
        <v>25</v>
      </c>
      <c r="B42" s="3">
        <v>21</v>
      </c>
      <c r="D42" s="3">
        <v>32</v>
      </c>
    </row>
    <row r="43" spans="1:4" x14ac:dyDescent="0.25">
      <c r="A43" s="3">
        <v>36</v>
      </c>
      <c r="B43" s="3">
        <v>22</v>
      </c>
      <c r="D43" s="3">
        <v>35</v>
      </c>
    </row>
    <row r="44" spans="1:4" x14ac:dyDescent="0.25">
      <c r="A44" s="3">
        <v>27</v>
      </c>
      <c r="B44" s="3">
        <v>23</v>
      </c>
      <c r="D44" s="3">
        <v>25</v>
      </c>
    </row>
    <row r="45" spans="1:4" x14ac:dyDescent="0.25">
      <c r="A45" s="3">
        <v>34</v>
      </c>
      <c r="B45" s="3">
        <v>24</v>
      </c>
      <c r="D45" s="3">
        <v>46</v>
      </c>
    </row>
    <row r="46" spans="1:4" x14ac:dyDescent="0.25">
      <c r="A46" s="3">
        <v>39</v>
      </c>
      <c r="B46" s="3">
        <v>25</v>
      </c>
      <c r="D46" s="3">
        <v>40</v>
      </c>
    </row>
    <row r="47" spans="1:4" x14ac:dyDescent="0.25">
      <c r="A47" s="3">
        <v>35</v>
      </c>
      <c r="B47" s="3">
        <v>26</v>
      </c>
      <c r="D47" s="3">
        <v>35</v>
      </c>
    </row>
    <row r="48" spans="1:4" x14ac:dyDescent="0.25">
      <c r="A48" s="3">
        <v>23</v>
      </c>
      <c r="B48" s="3">
        <v>27</v>
      </c>
      <c r="D48" s="3">
        <v>26</v>
      </c>
    </row>
    <row r="49" spans="1:5" x14ac:dyDescent="0.25">
      <c r="A49" s="3">
        <v>19</v>
      </c>
      <c r="B49" s="3">
        <v>28</v>
      </c>
      <c r="D49" s="3">
        <v>25</v>
      </c>
    </row>
    <row r="52" spans="1:5" ht="19.05" x14ac:dyDescent="0.25">
      <c r="A52" s="3">
        <f>AVERAGE(A22:A49)</f>
        <v>30.5</v>
      </c>
      <c r="B52" s="1" t="s">
        <v>35</v>
      </c>
      <c r="D52" s="3">
        <f>AVERAGE(D36:D49)</f>
        <v>33.142857142857146</v>
      </c>
      <c r="E52" s="1" t="s">
        <v>35</v>
      </c>
    </row>
    <row r="53" spans="1:5" ht="19.05" x14ac:dyDescent="0.25">
      <c r="A53" s="3">
        <f>_xlfn.STDEV.S(A22:A49)</f>
        <v>8.5613256155981059</v>
      </c>
      <c r="B53" s="1" t="s">
        <v>36</v>
      </c>
    </row>
    <row r="54" spans="1:5" ht="19.05" x14ac:dyDescent="0.25">
      <c r="B54" s="2"/>
    </row>
    <row r="55" spans="1:5" ht="19.05" x14ac:dyDescent="0.25">
      <c r="A55" s="3">
        <f>_xlfn.NORM.S.INV(1-0.025)</f>
        <v>1.9599639845400536</v>
      </c>
      <c r="B55" s="1" t="s">
        <v>37</v>
      </c>
    </row>
    <row r="56" spans="1:5" ht="19.05" x14ac:dyDescent="0.25">
      <c r="B56" s="2"/>
    </row>
    <row r="57" spans="1:5" ht="19.05" x14ac:dyDescent="0.25">
      <c r="A57" s="3">
        <f>A55*(A53/SQRT(B49))</f>
        <v>3.171101115270853</v>
      </c>
      <c r="B57" s="1" t="s">
        <v>38</v>
      </c>
    </row>
    <row r="58" spans="1:5" ht="19.05" x14ac:dyDescent="0.25">
      <c r="B58" s="2"/>
    </row>
    <row r="59" spans="1:5" ht="19.05" x14ac:dyDescent="0.25">
      <c r="A59" s="3">
        <f>A52+A57</f>
        <v>33.671101115270851</v>
      </c>
      <c r="B59" s="1" t="s">
        <v>39</v>
      </c>
    </row>
    <row r="60" spans="1:5" ht="19.05" x14ac:dyDescent="0.25">
      <c r="A60" s="3">
        <f>A52-A57</f>
        <v>27.328898884729146</v>
      </c>
      <c r="B60" s="1" t="s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13FA-50BF-4CA2-AB2E-6A31797F7DB9}">
  <dimension ref="A1:C61"/>
  <sheetViews>
    <sheetView workbookViewId="0">
      <selection activeCell="F25" sqref="F25"/>
    </sheetView>
  </sheetViews>
  <sheetFormatPr defaultRowHeight="14.3" x14ac:dyDescent="0.25"/>
  <cols>
    <col min="2" max="2" width="13.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 t="s">
        <v>4</v>
      </c>
    </row>
    <row r="3" spans="1:3" x14ac:dyDescent="0.25">
      <c r="A3" t="s">
        <v>5</v>
      </c>
      <c r="B3">
        <v>29</v>
      </c>
      <c r="C3" t="s">
        <v>4</v>
      </c>
    </row>
    <row r="4" spans="1:3" x14ac:dyDescent="0.25">
      <c r="A4" t="s">
        <v>6</v>
      </c>
      <c r="B4">
        <v>28</v>
      </c>
      <c r="C4" t="s">
        <v>4</v>
      </c>
    </row>
    <row r="5" spans="1:3" x14ac:dyDescent="0.25">
      <c r="A5" t="s">
        <v>7</v>
      </c>
      <c r="B5">
        <v>34</v>
      </c>
      <c r="C5" t="s">
        <v>4</v>
      </c>
    </row>
    <row r="6" spans="1:3" x14ac:dyDescent="0.25">
      <c r="A6" t="s">
        <v>8</v>
      </c>
      <c r="B6">
        <v>31</v>
      </c>
      <c r="C6" t="s">
        <v>4</v>
      </c>
    </row>
    <row r="7" spans="1:3" x14ac:dyDescent="0.25">
      <c r="A7" t="s">
        <v>11</v>
      </c>
      <c r="B7">
        <v>50</v>
      </c>
      <c r="C7" t="s">
        <v>4</v>
      </c>
    </row>
    <row r="8" spans="1:3" x14ac:dyDescent="0.25">
      <c r="A8" t="s">
        <v>16</v>
      </c>
      <c r="B8">
        <v>19</v>
      </c>
      <c r="C8" t="s">
        <v>4</v>
      </c>
    </row>
    <row r="9" spans="1:3" x14ac:dyDescent="0.25">
      <c r="A9" t="s">
        <v>17</v>
      </c>
      <c r="B9">
        <v>45</v>
      </c>
      <c r="C9" t="s">
        <v>4</v>
      </c>
    </row>
    <row r="10" spans="1:3" x14ac:dyDescent="0.25">
      <c r="A10" t="s">
        <v>18</v>
      </c>
      <c r="B10">
        <v>44</v>
      </c>
      <c r="C10" t="s">
        <v>4</v>
      </c>
    </row>
    <row r="11" spans="1:3" x14ac:dyDescent="0.25">
      <c r="A11" t="s">
        <v>19</v>
      </c>
      <c r="B11">
        <v>42</v>
      </c>
      <c r="C11" t="s">
        <v>4</v>
      </c>
    </row>
    <row r="12" spans="1:3" x14ac:dyDescent="0.25">
      <c r="A12" t="s">
        <v>20</v>
      </c>
      <c r="B12">
        <v>39</v>
      </c>
      <c r="C12" t="s">
        <v>4</v>
      </c>
    </row>
    <row r="13" spans="1:3" x14ac:dyDescent="0.25">
      <c r="A13" t="s">
        <v>21</v>
      </c>
      <c r="B13">
        <v>29</v>
      </c>
      <c r="C13" t="s">
        <v>4</v>
      </c>
    </row>
    <row r="14" spans="1:3" x14ac:dyDescent="0.25">
      <c r="A14" t="s">
        <v>22</v>
      </c>
      <c r="B14">
        <v>41</v>
      </c>
      <c r="C14" t="s">
        <v>4</v>
      </c>
    </row>
    <row r="15" spans="1:3" x14ac:dyDescent="0.25">
      <c r="A15" t="s">
        <v>23</v>
      </c>
      <c r="B15">
        <v>29</v>
      </c>
      <c r="C15" t="s">
        <v>4</v>
      </c>
    </row>
    <row r="16" spans="1:3" x14ac:dyDescent="0.25">
      <c r="A16" t="s">
        <v>24</v>
      </c>
      <c r="B16">
        <v>38</v>
      </c>
      <c r="C16" t="s">
        <v>4</v>
      </c>
    </row>
    <row r="17" spans="1:3" x14ac:dyDescent="0.25">
      <c r="A17" t="s">
        <v>25</v>
      </c>
      <c r="B17">
        <v>27</v>
      </c>
      <c r="C17" t="s">
        <v>4</v>
      </c>
    </row>
    <row r="18" spans="1:3" x14ac:dyDescent="0.25">
      <c r="A18" t="s">
        <v>26</v>
      </c>
      <c r="B18">
        <v>30</v>
      </c>
      <c r="C18" t="s">
        <v>4</v>
      </c>
    </row>
    <row r="19" spans="1:3" x14ac:dyDescent="0.25">
      <c r="A19" t="s">
        <v>27</v>
      </c>
      <c r="B19">
        <v>50</v>
      </c>
      <c r="C19" t="s">
        <v>4</v>
      </c>
    </row>
    <row r="20" spans="1:3" x14ac:dyDescent="0.25">
      <c r="A20" t="s">
        <v>28</v>
      </c>
      <c r="B20">
        <v>29</v>
      </c>
      <c r="C20" t="s">
        <v>4</v>
      </c>
    </row>
    <row r="21" spans="1:3" x14ac:dyDescent="0.25">
      <c r="A21" t="s">
        <v>29</v>
      </c>
      <c r="B21">
        <v>18</v>
      </c>
      <c r="C21" t="s">
        <v>4</v>
      </c>
    </row>
    <row r="22" spans="1:3" x14ac:dyDescent="0.25">
      <c r="A22" t="s">
        <v>11</v>
      </c>
      <c r="B22">
        <v>48</v>
      </c>
      <c r="C22" t="s">
        <v>13</v>
      </c>
    </row>
    <row r="23" spans="1:3" x14ac:dyDescent="0.25">
      <c r="A23" t="s">
        <v>23</v>
      </c>
      <c r="B23">
        <v>39</v>
      </c>
      <c r="C23" t="s">
        <v>13</v>
      </c>
    </row>
    <row r="24" spans="1:3" x14ac:dyDescent="0.25">
      <c r="A24" t="s">
        <v>30</v>
      </c>
      <c r="B24">
        <v>37</v>
      </c>
      <c r="C24" t="s">
        <v>13</v>
      </c>
    </row>
    <row r="25" spans="1:3" x14ac:dyDescent="0.25">
      <c r="A25" t="s">
        <v>20</v>
      </c>
      <c r="B25">
        <v>36</v>
      </c>
      <c r="C25" t="s">
        <v>13</v>
      </c>
    </row>
    <row r="26" spans="1:3" x14ac:dyDescent="0.25">
      <c r="A26" t="s">
        <v>26</v>
      </c>
      <c r="B26">
        <v>35</v>
      </c>
      <c r="C26" t="s">
        <v>13</v>
      </c>
    </row>
    <row r="27" spans="1:3" x14ac:dyDescent="0.25">
      <c r="A27" t="s">
        <v>22</v>
      </c>
      <c r="B27">
        <v>34</v>
      </c>
      <c r="C27" t="s">
        <v>13</v>
      </c>
    </row>
    <row r="28" spans="1:3" x14ac:dyDescent="0.25">
      <c r="A28" t="s">
        <v>19</v>
      </c>
      <c r="B28">
        <v>33</v>
      </c>
      <c r="C28" t="s">
        <v>13</v>
      </c>
    </row>
    <row r="29" spans="1:3" x14ac:dyDescent="0.25">
      <c r="A29" t="s">
        <v>18</v>
      </c>
      <c r="B29">
        <v>33</v>
      </c>
      <c r="C29" t="s">
        <v>13</v>
      </c>
    </row>
    <row r="30" spans="1:3" x14ac:dyDescent="0.25">
      <c r="A30" t="s">
        <v>31</v>
      </c>
      <c r="B30">
        <v>32</v>
      </c>
      <c r="C30" t="s">
        <v>13</v>
      </c>
    </row>
    <row r="31" spans="1:3" x14ac:dyDescent="0.25">
      <c r="A31" t="s">
        <v>25</v>
      </c>
      <c r="B31">
        <v>27</v>
      </c>
      <c r="C31" t="s">
        <v>13</v>
      </c>
    </row>
    <row r="32" spans="1:3" x14ac:dyDescent="0.25">
      <c r="A32" t="s">
        <v>21</v>
      </c>
      <c r="B32">
        <v>27</v>
      </c>
      <c r="C32" t="s">
        <v>13</v>
      </c>
    </row>
    <row r="33" spans="1:3" x14ac:dyDescent="0.25">
      <c r="A33" t="s">
        <v>16</v>
      </c>
      <c r="B33">
        <v>27</v>
      </c>
      <c r="C33" t="s">
        <v>13</v>
      </c>
    </row>
    <row r="34" spans="1:3" x14ac:dyDescent="0.25">
      <c r="A34" t="s">
        <v>17</v>
      </c>
      <c r="B34">
        <v>25</v>
      </c>
      <c r="C34" t="s">
        <v>13</v>
      </c>
    </row>
    <row r="35" spans="1:3" x14ac:dyDescent="0.25">
      <c r="A35" t="s">
        <v>7</v>
      </c>
      <c r="B35">
        <v>25</v>
      </c>
      <c r="C35" t="s">
        <v>13</v>
      </c>
    </row>
    <row r="36" spans="1:3" x14ac:dyDescent="0.25">
      <c r="A36" t="s">
        <v>6</v>
      </c>
      <c r="B36">
        <v>25</v>
      </c>
      <c r="C36" t="s">
        <v>13</v>
      </c>
    </row>
    <row r="37" spans="1:3" x14ac:dyDescent="0.25">
      <c r="A37" t="s">
        <v>5</v>
      </c>
      <c r="B37">
        <v>24</v>
      </c>
      <c r="C37" t="s">
        <v>13</v>
      </c>
    </row>
    <row r="38" spans="1:3" x14ac:dyDescent="0.25">
      <c r="A38" t="s">
        <v>28</v>
      </c>
      <c r="B38">
        <v>23</v>
      </c>
      <c r="C38" t="s">
        <v>13</v>
      </c>
    </row>
    <row r="39" spans="1:3" x14ac:dyDescent="0.25">
      <c r="A39" t="s">
        <v>3</v>
      </c>
      <c r="B39">
        <v>22</v>
      </c>
      <c r="C39" t="s">
        <v>13</v>
      </c>
    </row>
    <row r="40" spans="1:3" x14ac:dyDescent="0.25">
      <c r="A40" t="s">
        <v>29</v>
      </c>
      <c r="B40">
        <v>19</v>
      </c>
      <c r="C40" t="s">
        <v>13</v>
      </c>
    </row>
    <row r="41" spans="1:3" x14ac:dyDescent="0.25">
      <c r="A41" t="s">
        <v>32</v>
      </c>
      <c r="B41">
        <v>19</v>
      </c>
      <c r="C41" t="s">
        <v>13</v>
      </c>
    </row>
    <row r="42" spans="1:3" x14ac:dyDescent="0.25">
      <c r="A42" t="s">
        <v>22</v>
      </c>
      <c r="B42">
        <v>46</v>
      </c>
      <c r="C42" t="s">
        <v>14</v>
      </c>
    </row>
    <row r="43" spans="1:3" x14ac:dyDescent="0.25">
      <c r="A43" t="s">
        <v>11</v>
      </c>
      <c r="B43">
        <v>42</v>
      </c>
      <c r="C43" t="s">
        <v>14</v>
      </c>
    </row>
    <row r="44" spans="1:3" x14ac:dyDescent="0.25">
      <c r="A44" t="s">
        <v>23</v>
      </c>
      <c r="B44">
        <v>40</v>
      </c>
      <c r="C44" t="s">
        <v>14</v>
      </c>
    </row>
    <row r="45" spans="1:3" x14ac:dyDescent="0.25">
      <c r="A45" t="s">
        <v>7</v>
      </c>
      <c r="B45">
        <v>38</v>
      </c>
      <c r="C45" t="s">
        <v>14</v>
      </c>
    </row>
    <row r="46" spans="1:3" x14ac:dyDescent="0.25">
      <c r="A46" t="s">
        <v>16</v>
      </c>
      <c r="B46">
        <v>37</v>
      </c>
      <c r="C46" t="s">
        <v>14</v>
      </c>
    </row>
    <row r="47" spans="1:3" x14ac:dyDescent="0.25">
      <c r="A47" t="s">
        <v>5</v>
      </c>
      <c r="B47">
        <v>35</v>
      </c>
      <c r="C47" t="s">
        <v>14</v>
      </c>
    </row>
    <row r="48" spans="1:3" x14ac:dyDescent="0.25">
      <c r="A48" t="s">
        <v>20</v>
      </c>
      <c r="B48">
        <v>35</v>
      </c>
      <c r="C48" t="s">
        <v>14</v>
      </c>
    </row>
    <row r="49" spans="1:3" x14ac:dyDescent="0.25">
      <c r="A49" t="s">
        <v>26</v>
      </c>
      <c r="B49">
        <v>35</v>
      </c>
      <c r="C49" t="s">
        <v>14</v>
      </c>
    </row>
    <row r="50" spans="1:3" x14ac:dyDescent="0.25">
      <c r="A50" t="s">
        <v>30</v>
      </c>
      <c r="B50">
        <v>34</v>
      </c>
      <c r="C50" t="s">
        <v>14</v>
      </c>
    </row>
    <row r="51" spans="1:3" x14ac:dyDescent="0.25">
      <c r="A51" t="s">
        <v>33</v>
      </c>
      <c r="B51">
        <v>33</v>
      </c>
      <c r="C51" t="s">
        <v>14</v>
      </c>
    </row>
    <row r="52" spans="1:3" x14ac:dyDescent="0.25">
      <c r="A52" t="s">
        <v>17</v>
      </c>
      <c r="B52">
        <v>32</v>
      </c>
      <c r="C52" t="s">
        <v>14</v>
      </c>
    </row>
    <row r="53" spans="1:3" x14ac:dyDescent="0.25">
      <c r="A53" t="s">
        <v>34</v>
      </c>
      <c r="B53">
        <v>31</v>
      </c>
      <c r="C53" t="s">
        <v>14</v>
      </c>
    </row>
    <row r="54" spans="1:3" x14ac:dyDescent="0.25">
      <c r="A54" t="s">
        <v>6</v>
      </c>
      <c r="B54">
        <v>26</v>
      </c>
      <c r="C54" t="s">
        <v>14</v>
      </c>
    </row>
    <row r="55" spans="1:3" x14ac:dyDescent="0.25">
      <c r="A55" t="s">
        <v>28</v>
      </c>
      <c r="B55">
        <v>26</v>
      </c>
      <c r="C55" t="s">
        <v>14</v>
      </c>
    </row>
    <row r="56" spans="1:3" x14ac:dyDescent="0.25">
      <c r="A56" t="s">
        <v>31</v>
      </c>
      <c r="B56">
        <v>25</v>
      </c>
      <c r="C56" t="s">
        <v>14</v>
      </c>
    </row>
    <row r="57" spans="1:3" x14ac:dyDescent="0.25">
      <c r="A57" t="s">
        <v>8</v>
      </c>
      <c r="B57">
        <v>25</v>
      </c>
      <c r="C57" t="s">
        <v>14</v>
      </c>
    </row>
    <row r="58" spans="1:3" x14ac:dyDescent="0.25">
      <c r="A58" t="s">
        <v>21</v>
      </c>
      <c r="B58">
        <v>25</v>
      </c>
      <c r="C58" t="s">
        <v>14</v>
      </c>
    </row>
    <row r="59" spans="1:3" x14ac:dyDescent="0.25">
      <c r="A59" t="s">
        <v>29</v>
      </c>
      <c r="B59">
        <v>25</v>
      </c>
      <c r="C59" t="s">
        <v>14</v>
      </c>
    </row>
    <row r="60" spans="1:3" x14ac:dyDescent="0.25">
      <c r="A60" t="s">
        <v>3</v>
      </c>
      <c r="B60">
        <v>22</v>
      </c>
      <c r="C60" t="s">
        <v>14</v>
      </c>
    </row>
    <row r="61" spans="1:3" x14ac:dyDescent="0.25">
      <c r="A61" t="s">
        <v>32</v>
      </c>
      <c r="B61">
        <v>22</v>
      </c>
      <c r="C6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3807-14F4-45A7-A78A-3135773F30AA}">
  <dimension ref="A1:B4"/>
  <sheetViews>
    <sheetView zoomScale="130" zoomScaleNormal="130" workbookViewId="0">
      <selection activeCell="C18" sqref="C18"/>
    </sheetView>
  </sheetViews>
  <sheetFormatPr defaultRowHeight="14.3" x14ac:dyDescent="0.25"/>
  <cols>
    <col min="1" max="1" width="7.5" bestFit="1" customWidth="1"/>
    <col min="2" max="2" width="11.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4</v>
      </c>
      <c r="B2">
        <v>445</v>
      </c>
    </row>
    <row r="3" spans="1:2" x14ac:dyDescent="0.25">
      <c r="A3" t="s">
        <v>13</v>
      </c>
      <c r="B3">
        <v>409</v>
      </c>
    </row>
    <row r="4" spans="1:2" x14ac:dyDescent="0.25">
      <c r="A4" t="s">
        <v>14</v>
      </c>
      <c r="B4">
        <v>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EPL_INJURY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Mahavir Bijarniya</cp:lastModifiedBy>
  <dcterms:created xsi:type="dcterms:W3CDTF">2024-11-10T19:30:17Z</dcterms:created>
  <dcterms:modified xsi:type="dcterms:W3CDTF">2024-12-06T18:54:15Z</dcterms:modified>
</cp:coreProperties>
</file>